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pem\Desktop\"/>
    </mc:Choice>
  </mc:AlternateContent>
  <xr:revisionPtr revIDLastSave="0" documentId="8_{D9EA285C-C8A6-43B4-A641-F9E7825FAE0B}" xr6:coauthVersionLast="47" xr6:coauthVersionMax="47" xr10:uidLastSave="{00000000-0000-0000-0000-000000000000}"/>
  <bookViews>
    <workbookView xWindow="-120" yWindow="-120" windowWidth="29040" windowHeight="15840" xr2:uid="{830089D7-6C6F-4493-8640-5FC696433062}"/>
  </bookViews>
  <sheets>
    <sheet name="ControleEstoq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1" l="1"/>
  <c r="H17" i="1"/>
  <c r="H29" i="1"/>
  <c r="F17" i="1"/>
  <c r="G17" i="1" s="1"/>
  <c r="F29" i="1"/>
  <c r="G29" i="1" s="1"/>
  <c r="F5" i="1"/>
  <c r="G5" i="1" s="1"/>
  <c r="H5" i="1" s="1"/>
  <c r="F10" i="1"/>
  <c r="G10" i="1" s="1"/>
  <c r="F22" i="1"/>
  <c r="G22" i="1" s="1"/>
  <c r="H22" i="1" s="1"/>
  <c r="F24" i="1"/>
  <c r="G24" i="1" s="1"/>
  <c r="H24" i="1" s="1"/>
  <c r="F33" i="1"/>
  <c r="G33" i="1" s="1"/>
  <c r="H33" i="1" s="1"/>
  <c r="F21" i="1" l="1"/>
  <c r="G21" i="1" s="1"/>
  <c r="H21" i="1" s="1"/>
  <c r="F9" i="1"/>
  <c r="G9" i="1" s="1"/>
  <c r="H9" i="1" s="1"/>
  <c r="F4" i="1"/>
  <c r="G4" i="1" s="1"/>
  <c r="H4" i="1" s="1"/>
  <c r="F18" i="1"/>
  <c r="G18" i="1" s="1"/>
  <c r="H18" i="1" s="1"/>
  <c r="F26" i="1"/>
  <c r="G26" i="1" s="1"/>
  <c r="H26" i="1" s="1"/>
  <c r="F31" i="1"/>
  <c r="G31" i="1" s="1"/>
  <c r="H31" i="1" s="1"/>
  <c r="F32" i="1"/>
  <c r="G32" i="1" s="1"/>
  <c r="H32" i="1" s="1"/>
  <c r="F19" i="1"/>
  <c r="G19" i="1" s="1"/>
  <c r="H19" i="1" s="1"/>
  <c r="F30" i="1"/>
  <c r="G30" i="1" s="1"/>
  <c r="H30" i="1" s="1"/>
  <c r="F20" i="1"/>
  <c r="G20" i="1" s="1"/>
  <c r="H20" i="1" s="1"/>
  <c r="F7" i="1"/>
  <c r="G7" i="1" s="1"/>
  <c r="H7" i="1" s="1"/>
  <c r="F12" i="1"/>
  <c r="G12" i="1" s="1"/>
  <c r="H12" i="1" s="1"/>
  <c r="F15" i="1"/>
  <c r="G15" i="1" s="1"/>
  <c r="H15" i="1" s="1"/>
  <c r="F27" i="1"/>
  <c r="G27" i="1" s="1"/>
  <c r="H27" i="1" s="1"/>
  <c r="F6" i="1"/>
  <c r="G6" i="1" s="1"/>
  <c r="H6" i="1" s="1"/>
  <c r="F8" i="1"/>
  <c r="G8" i="1" s="1"/>
  <c r="H8" i="1" s="1"/>
  <c r="F14" i="1"/>
  <c r="G14" i="1" s="1"/>
  <c r="H14" i="1" s="1"/>
  <c r="F16" i="1"/>
  <c r="G16" i="1" s="1"/>
  <c r="H16" i="1" s="1"/>
  <c r="F28" i="1"/>
  <c r="G28" i="1" s="1"/>
  <c r="H28" i="1" s="1"/>
  <c r="F25" i="1"/>
  <c r="G25" i="1" s="1"/>
  <c r="H25" i="1" s="1"/>
  <c r="F13" i="1"/>
  <c r="G13" i="1" s="1"/>
  <c r="H13" i="1" s="1"/>
  <c r="F23" i="1"/>
  <c r="G23" i="1" s="1"/>
  <c r="H23" i="1" s="1"/>
  <c r="F11" i="1"/>
  <c r="G11" i="1" s="1"/>
  <c r="H11" i="1" s="1"/>
</calcChain>
</file>

<file path=xl/sharedStrings.xml><?xml version="1.0" encoding="utf-8"?>
<sst xmlns="http://schemas.openxmlformats.org/spreadsheetml/2006/main" count="68" uniqueCount="38">
  <si>
    <t>ITEM</t>
  </si>
  <si>
    <t>PRODUTO</t>
  </si>
  <si>
    <t>UND</t>
  </si>
  <si>
    <t>QTD ENTRADA</t>
  </si>
  <si>
    <t>QTD SAÍDA</t>
  </si>
  <si>
    <t>STATUS</t>
  </si>
  <si>
    <t>ESTOQUE ATUAL</t>
  </si>
  <si>
    <t>Mouse Gamer</t>
  </si>
  <si>
    <t>Teclado Mecânico</t>
  </si>
  <si>
    <t>Headset Gamer</t>
  </si>
  <si>
    <t>Webcam Full HD</t>
  </si>
  <si>
    <t>Monitor 24"</t>
  </si>
  <si>
    <t>Monitor 27"</t>
  </si>
  <si>
    <t>SSD 480GB</t>
  </si>
  <si>
    <t>SSD 1TB</t>
  </si>
  <si>
    <t>HD Externo 1TB</t>
  </si>
  <si>
    <t>Pen Drive 64GB</t>
  </si>
  <si>
    <t>Pen Drive 128GB</t>
  </si>
  <si>
    <t>Cabo USB-C</t>
  </si>
  <si>
    <t>Cabo HDMI</t>
  </si>
  <si>
    <t>Cabo Lightning</t>
  </si>
  <si>
    <t>Carregador 20W</t>
  </si>
  <si>
    <t>Carregador 65W</t>
  </si>
  <si>
    <t>Power Bank 10.000mAh</t>
  </si>
  <si>
    <t>Fone Bluetooth</t>
  </si>
  <si>
    <t>Caixa de Som Bluetooth</t>
  </si>
  <si>
    <t>Adaptador HDMI</t>
  </si>
  <si>
    <t>Hub USB</t>
  </si>
  <si>
    <t>Suporte para Notebook</t>
  </si>
  <si>
    <t>Teclado Sem Fio</t>
  </si>
  <si>
    <t>Mouse Sem Fio</t>
  </si>
  <si>
    <t>Roteador Wi-Fi</t>
  </si>
  <si>
    <t>Placa de Vídeo</t>
  </si>
  <si>
    <t>Memória RAM 8GB</t>
  </si>
  <si>
    <t>Memória RAM 16GB</t>
  </si>
  <si>
    <t>Fonte ATX 500W</t>
  </si>
  <si>
    <t>Estabilizador</t>
  </si>
  <si>
    <t>CONTROLE DE ESTOQUE DA 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</si>
</sst>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  <font>
      <b/>
      <sz val="20"/>
      <color theme="2" tint="-0.89999084444715716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right"/>
    </xf>
    <xf numFmtId="0" fontId="0" fillId="4" borderId="7" xfId="0" applyFill="1" applyBorder="1" applyAlignment="1">
      <alignment horizontal="left" vertical="top"/>
    </xf>
    <xf numFmtId="0" fontId="0" fillId="4" borderId="9" xfId="0" applyFill="1" applyBorder="1" applyAlignment="1">
      <alignment horizontal="left" vertical="top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left" vertical="top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CC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B0E5-966B-4F7E-ABDE-F0A7801D3004}">
  <dimension ref="A1:H33"/>
  <sheetViews>
    <sheetView showGridLines="0" tabSelected="1" zoomScale="110" zoomScaleNormal="110" workbookViewId="0">
      <selection activeCell="B12" sqref="B12"/>
    </sheetView>
  </sheetViews>
  <sheetFormatPr defaultColWidth="0" defaultRowHeight="15" x14ac:dyDescent="0.25"/>
  <cols>
    <col min="1" max="1" width="5.140625" bestFit="1" customWidth="1"/>
    <col min="2" max="2" width="22" bestFit="1" customWidth="1"/>
    <col min="3" max="3" width="5" bestFit="1" customWidth="1"/>
    <col min="4" max="4" width="14.42578125" customWidth="1"/>
    <col min="5" max="5" width="11.7109375" customWidth="1"/>
    <col min="6" max="6" width="15.7109375" bestFit="1" customWidth="1"/>
    <col min="7" max="7" width="4.28515625" bestFit="1" customWidth="1"/>
    <col min="8" max="8" width="16.42578125" customWidth="1"/>
    <col min="9" max="16384" width="9.140625" hidden="1"/>
  </cols>
  <sheetData>
    <row r="1" spans="1:8" x14ac:dyDescent="0.25">
      <c r="A1" s="1" t="s">
        <v>37</v>
      </c>
      <c r="B1" s="2"/>
      <c r="C1" s="2"/>
      <c r="D1" s="2"/>
      <c r="E1" s="2"/>
      <c r="F1" s="2"/>
      <c r="G1" s="2"/>
      <c r="H1" s="3"/>
    </row>
    <row r="2" spans="1:8" ht="25.5" customHeight="1" thickBot="1" x14ac:dyDescent="0.3">
      <c r="A2" s="4"/>
      <c r="B2" s="5"/>
      <c r="C2" s="5"/>
      <c r="D2" s="5"/>
      <c r="E2" s="5"/>
      <c r="F2" s="5"/>
      <c r="G2" s="5"/>
      <c r="H2" s="6"/>
    </row>
    <row r="3" spans="1:8" ht="15.75" thickBot="1" x14ac:dyDescent="0.3">
      <c r="A3" s="7" t="s">
        <v>0</v>
      </c>
      <c r="B3" s="8" t="s">
        <v>1</v>
      </c>
      <c r="C3" s="7" t="s">
        <v>2</v>
      </c>
      <c r="D3" s="7" t="s">
        <v>3</v>
      </c>
      <c r="E3" s="7" t="s">
        <v>4</v>
      </c>
      <c r="F3" s="7" t="s">
        <v>6</v>
      </c>
      <c r="G3" s="9" t="s">
        <v>5</v>
      </c>
      <c r="H3" s="10"/>
    </row>
    <row r="4" spans="1:8" ht="15.75" thickBot="1" x14ac:dyDescent="0.3">
      <c r="A4" s="17">
        <v>1</v>
      </c>
      <c r="B4" s="18" t="s">
        <v>7</v>
      </c>
      <c r="C4" s="17" t="s">
        <v>2</v>
      </c>
      <c r="D4" s="18">
        <v>40</v>
      </c>
      <c r="E4" s="18">
        <v>40</v>
      </c>
      <c r="F4" s="18">
        <f>D4-E4</f>
        <v>0</v>
      </c>
      <c r="G4" s="19">
        <f>IF(F4=0,0,1)</f>
        <v>0</v>
      </c>
      <c r="H4" s="20" t="str">
        <f>IF(G4=1,"Disponível","Indísponivel")</f>
        <v>Indísponivel</v>
      </c>
    </row>
    <row r="5" spans="1:8" ht="15.75" thickBot="1" x14ac:dyDescent="0.3">
      <c r="A5" s="17">
        <v>2</v>
      </c>
      <c r="B5" s="18" t="s">
        <v>8</v>
      </c>
      <c r="C5" s="17" t="s">
        <v>2</v>
      </c>
      <c r="D5" s="18">
        <v>50</v>
      </c>
      <c r="E5" s="18">
        <v>50</v>
      </c>
      <c r="F5" s="18">
        <f t="shared" ref="F5:F33" si="0">D5-E5</f>
        <v>0</v>
      </c>
      <c r="G5" s="19">
        <f t="shared" ref="G5:G33" si="1">IF(F5=0,0,1)</f>
        <v>0</v>
      </c>
      <c r="H5" s="20" t="str">
        <f t="shared" ref="H5:H33" si="2">IF(G5=1,"Disponível","Indísponivel")</f>
        <v>Indísponivel</v>
      </c>
    </row>
    <row r="6" spans="1:8" ht="15.75" thickBot="1" x14ac:dyDescent="0.3">
      <c r="A6" s="17">
        <v>3</v>
      </c>
      <c r="B6" s="18" t="s">
        <v>9</v>
      </c>
      <c r="C6" s="17" t="s">
        <v>2</v>
      </c>
      <c r="D6" s="18">
        <v>15</v>
      </c>
      <c r="E6" s="18">
        <v>10</v>
      </c>
      <c r="F6" s="18">
        <f t="shared" si="0"/>
        <v>5</v>
      </c>
      <c r="G6" s="19">
        <f t="shared" si="1"/>
        <v>1</v>
      </c>
      <c r="H6" s="20" t="str">
        <f t="shared" si="2"/>
        <v>Disponível</v>
      </c>
    </row>
    <row r="7" spans="1:8" ht="15.75" thickBot="1" x14ac:dyDescent="0.3">
      <c r="A7" s="17">
        <v>4</v>
      </c>
      <c r="B7" s="18" t="s">
        <v>10</v>
      </c>
      <c r="C7" s="17" t="s">
        <v>2</v>
      </c>
      <c r="D7" s="18">
        <v>20</v>
      </c>
      <c r="E7" s="18">
        <v>15</v>
      </c>
      <c r="F7" s="18">
        <f t="shared" si="0"/>
        <v>5</v>
      </c>
      <c r="G7" s="19">
        <f t="shared" si="1"/>
        <v>1</v>
      </c>
      <c r="H7" s="20" t="str">
        <f t="shared" si="2"/>
        <v>Disponível</v>
      </c>
    </row>
    <row r="8" spans="1:8" ht="15.75" thickBot="1" x14ac:dyDescent="0.3">
      <c r="A8" s="17">
        <v>5</v>
      </c>
      <c r="B8" s="18" t="s">
        <v>11</v>
      </c>
      <c r="C8" s="17" t="s">
        <v>2</v>
      </c>
      <c r="D8" s="18">
        <v>30</v>
      </c>
      <c r="E8" s="18">
        <v>30</v>
      </c>
      <c r="F8" s="18">
        <f t="shared" si="0"/>
        <v>0</v>
      </c>
      <c r="G8" s="19">
        <f t="shared" si="1"/>
        <v>0</v>
      </c>
      <c r="H8" s="20" t="str">
        <f t="shared" si="2"/>
        <v>Indísponivel</v>
      </c>
    </row>
    <row r="9" spans="1:8" ht="15.75" thickBot="1" x14ac:dyDescent="0.3">
      <c r="A9" s="17">
        <v>6</v>
      </c>
      <c r="B9" s="18" t="s">
        <v>12</v>
      </c>
      <c r="C9" s="17" t="s">
        <v>2</v>
      </c>
      <c r="D9" s="18">
        <v>26</v>
      </c>
      <c r="E9" s="18">
        <v>12</v>
      </c>
      <c r="F9" s="18">
        <f t="shared" si="0"/>
        <v>14</v>
      </c>
      <c r="G9" s="19">
        <f t="shared" si="1"/>
        <v>1</v>
      </c>
      <c r="H9" s="20" t="str">
        <f t="shared" si="2"/>
        <v>Disponível</v>
      </c>
    </row>
    <row r="10" spans="1:8" ht="15.75" thickBot="1" x14ac:dyDescent="0.3">
      <c r="A10" s="17">
        <v>7</v>
      </c>
      <c r="B10" s="18" t="s">
        <v>13</v>
      </c>
      <c r="C10" s="17" t="s">
        <v>2</v>
      </c>
      <c r="D10" s="18">
        <v>10</v>
      </c>
      <c r="E10" s="18">
        <v>9</v>
      </c>
      <c r="F10" s="18">
        <f t="shared" si="0"/>
        <v>1</v>
      </c>
      <c r="G10" s="19">
        <f t="shared" si="1"/>
        <v>1</v>
      </c>
      <c r="H10" s="20" t="str">
        <f t="shared" si="2"/>
        <v>Disponível</v>
      </c>
    </row>
    <row r="11" spans="1:8" ht="15.75" thickBot="1" x14ac:dyDescent="0.3">
      <c r="A11" s="17">
        <v>8</v>
      </c>
      <c r="B11" s="18" t="s">
        <v>14</v>
      </c>
      <c r="C11" s="17" t="s">
        <v>2</v>
      </c>
      <c r="D11" s="18">
        <v>60</v>
      </c>
      <c r="E11" s="18">
        <v>60</v>
      </c>
      <c r="F11" s="18">
        <f t="shared" si="0"/>
        <v>0</v>
      </c>
      <c r="G11" s="19">
        <f t="shared" si="1"/>
        <v>0</v>
      </c>
      <c r="H11" s="20" t="str">
        <f t="shared" si="2"/>
        <v>Indísponivel</v>
      </c>
    </row>
    <row r="12" spans="1:8" ht="15.75" thickBot="1" x14ac:dyDescent="0.3">
      <c r="A12" s="17">
        <v>9</v>
      </c>
      <c r="B12" s="18" t="s">
        <v>15</v>
      </c>
      <c r="C12" s="17" t="s">
        <v>2</v>
      </c>
      <c r="D12" s="18">
        <v>90</v>
      </c>
      <c r="E12" s="18">
        <v>58</v>
      </c>
      <c r="F12" s="18">
        <f t="shared" si="0"/>
        <v>32</v>
      </c>
      <c r="G12" s="19">
        <f t="shared" si="1"/>
        <v>1</v>
      </c>
      <c r="H12" s="20" t="str">
        <f t="shared" si="2"/>
        <v>Disponível</v>
      </c>
    </row>
    <row r="13" spans="1:8" ht="15.75" thickBot="1" x14ac:dyDescent="0.3">
      <c r="A13" s="17">
        <v>10</v>
      </c>
      <c r="B13" s="18" t="s">
        <v>16</v>
      </c>
      <c r="C13" s="17" t="s">
        <v>2</v>
      </c>
      <c r="D13" s="18">
        <v>30</v>
      </c>
      <c r="E13" s="18">
        <v>20</v>
      </c>
      <c r="F13" s="18">
        <f t="shared" si="0"/>
        <v>10</v>
      </c>
      <c r="G13" s="19">
        <f t="shared" si="1"/>
        <v>1</v>
      </c>
      <c r="H13" s="20" t="str">
        <f t="shared" si="2"/>
        <v>Disponível</v>
      </c>
    </row>
    <row r="14" spans="1:8" ht="15.75" thickBot="1" x14ac:dyDescent="0.3">
      <c r="A14" s="17">
        <v>11</v>
      </c>
      <c r="B14" s="18" t="s">
        <v>17</v>
      </c>
      <c r="C14" s="17" t="s">
        <v>2</v>
      </c>
      <c r="D14" s="18">
        <v>45</v>
      </c>
      <c r="E14" s="18">
        <v>40</v>
      </c>
      <c r="F14" s="18">
        <f t="shared" si="0"/>
        <v>5</v>
      </c>
      <c r="G14" s="19">
        <f t="shared" si="1"/>
        <v>1</v>
      </c>
      <c r="H14" s="20" t="str">
        <f t="shared" si="2"/>
        <v>Disponível</v>
      </c>
    </row>
    <row r="15" spans="1:8" ht="15.75" thickBot="1" x14ac:dyDescent="0.3">
      <c r="A15" s="17">
        <v>12</v>
      </c>
      <c r="B15" s="18" t="s">
        <v>18</v>
      </c>
      <c r="C15" s="17" t="s">
        <v>2</v>
      </c>
      <c r="D15" s="18">
        <v>68</v>
      </c>
      <c r="E15" s="18">
        <v>68</v>
      </c>
      <c r="F15" s="18">
        <f t="shared" si="0"/>
        <v>0</v>
      </c>
      <c r="G15" s="19">
        <f t="shared" si="1"/>
        <v>0</v>
      </c>
      <c r="H15" s="20" t="str">
        <f t="shared" si="2"/>
        <v>Indísponivel</v>
      </c>
    </row>
    <row r="16" spans="1:8" ht="15.75" thickBot="1" x14ac:dyDescent="0.3">
      <c r="A16" s="17">
        <v>13</v>
      </c>
      <c r="B16" s="18" t="s">
        <v>19</v>
      </c>
      <c r="C16" s="17" t="s">
        <v>2</v>
      </c>
      <c r="D16" s="18">
        <v>29</v>
      </c>
      <c r="E16" s="18">
        <v>25</v>
      </c>
      <c r="F16" s="18">
        <f t="shared" si="0"/>
        <v>4</v>
      </c>
      <c r="G16" s="19">
        <f t="shared" si="1"/>
        <v>1</v>
      </c>
      <c r="H16" s="20" t="str">
        <f t="shared" si="2"/>
        <v>Disponível</v>
      </c>
    </row>
    <row r="17" spans="1:8" ht="15.75" thickBot="1" x14ac:dyDescent="0.3">
      <c r="A17" s="17">
        <v>14</v>
      </c>
      <c r="B17" s="18" t="s">
        <v>20</v>
      </c>
      <c r="C17" s="17" t="s">
        <v>2</v>
      </c>
      <c r="D17" s="18">
        <v>40</v>
      </c>
      <c r="E17" s="18">
        <v>39</v>
      </c>
      <c r="F17" s="18">
        <f t="shared" si="0"/>
        <v>1</v>
      </c>
      <c r="G17" s="19">
        <f t="shared" si="1"/>
        <v>1</v>
      </c>
      <c r="H17" s="20" t="str">
        <f t="shared" si="2"/>
        <v>Disponível</v>
      </c>
    </row>
    <row r="18" spans="1:8" ht="15.75" thickBot="1" x14ac:dyDescent="0.3">
      <c r="A18" s="17">
        <v>15</v>
      </c>
      <c r="B18" s="18" t="s">
        <v>21</v>
      </c>
      <c r="C18" s="17" t="s">
        <v>2</v>
      </c>
      <c r="D18" s="18">
        <v>90</v>
      </c>
      <c r="E18" s="18">
        <v>87</v>
      </c>
      <c r="F18" s="18">
        <f t="shared" si="0"/>
        <v>3</v>
      </c>
      <c r="G18" s="19">
        <f t="shared" si="1"/>
        <v>1</v>
      </c>
      <c r="H18" s="20" t="str">
        <f t="shared" si="2"/>
        <v>Disponível</v>
      </c>
    </row>
    <row r="19" spans="1:8" ht="15.75" thickBot="1" x14ac:dyDescent="0.3">
      <c r="A19" s="17">
        <v>16</v>
      </c>
      <c r="B19" s="18" t="s">
        <v>22</v>
      </c>
      <c r="C19" s="17" t="s">
        <v>2</v>
      </c>
      <c r="D19" s="18">
        <v>23</v>
      </c>
      <c r="E19" s="18">
        <v>23</v>
      </c>
      <c r="F19" s="18">
        <f t="shared" si="0"/>
        <v>0</v>
      </c>
      <c r="G19" s="19">
        <f t="shared" si="1"/>
        <v>0</v>
      </c>
      <c r="H19" s="20" t="str">
        <f t="shared" si="2"/>
        <v>Indísponivel</v>
      </c>
    </row>
    <row r="20" spans="1:8" ht="15.75" thickBot="1" x14ac:dyDescent="0.3">
      <c r="A20" s="17">
        <v>17</v>
      </c>
      <c r="B20" s="18" t="s">
        <v>23</v>
      </c>
      <c r="C20" s="17" t="s">
        <v>2</v>
      </c>
      <c r="D20" s="18">
        <v>23</v>
      </c>
      <c r="E20" s="18">
        <v>10</v>
      </c>
      <c r="F20" s="18">
        <f t="shared" si="0"/>
        <v>13</v>
      </c>
      <c r="G20" s="19">
        <f t="shared" si="1"/>
        <v>1</v>
      </c>
      <c r="H20" s="20" t="str">
        <f t="shared" si="2"/>
        <v>Disponível</v>
      </c>
    </row>
    <row r="21" spans="1:8" ht="15.75" thickBot="1" x14ac:dyDescent="0.3">
      <c r="A21" s="17">
        <v>18</v>
      </c>
      <c r="B21" s="18" t="s">
        <v>24</v>
      </c>
      <c r="C21" s="17" t="s">
        <v>2</v>
      </c>
      <c r="D21" s="18">
        <v>56</v>
      </c>
      <c r="E21" s="18">
        <v>56</v>
      </c>
      <c r="F21" s="18">
        <f t="shared" si="0"/>
        <v>0</v>
      </c>
      <c r="G21" s="19">
        <f t="shared" si="1"/>
        <v>0</v>
      </c>
      <c r="H21" s="20" t="str">
        <f t="shared" si="2"/>
        <v>Indísponivel</v>
      </c>
    </row>
    <row r="22" spans="1:8" ht="15.75" thickBot="1" x14ac:dyDescent="0.3">
      <c r="A22" s="17">
        <v>19</v>
      </c>
      <c r="B22" s="18" t="s">
        <v>25</v>
      </c>
      <c r="C22" s="17" t="s">
        <v>2</v>
      </c>
      <c r="D22" s="18">
        <v>20</v>
      </c>
      <c r="E22" s="18">
        <v>19</v>
      </c>
      <c r="F22" s="18">
        <f t="shared" si="0"/>
        <v>1</v>
      </c>
      <c r="G22" s="19">
        <f t="shared" si="1"/>
        <v>1</v>
      </c>
      <c r="H22" s="20" t="str">
        <f t="shared" si="2"/>
        <v>Disponível</v>
      </c>
    </row>
    <row r="23" spans="1:8" ht="15.75" thickBot="1" x14ac:dyDescent="0.3">
      <c r="A23" s="17">
        <v>20</v>
      </c>
      <c r="B23" s="18" t="s">
        <v>26</v>
      </c>
      <c r="C23" s="17" t="s">
        <v>2</v>
      </c>
      <c r="D23" s="18">
        <v>12</v>
      </c>
      <c r="E23" s="18">
        <v>10</v>
      </c>
      <c r="F23" s="18">
        <f t="shared" si="0"/>
        <v>2</v>
      </c>
      <c r="G23" s="19">
        <f t="shared" si="1"/>
        <v>1</v>
      </c>
      <c r="H23" s="20" t="str">
        <f t="shared" si="2"/>
        <v>Disponível</v>
      </c>
    </row>
    <row r="24" spans="1:8" ht="15.75" thickBot="1" x14ac:dyDescent="0.3">
      <c r="A24" s="17">
        <v>21</v>
      </c>
      <c r="B24" s="18" t="s">
        <v>27</v>
      </c>
      <c r="C24" s="17" t="s">
        <v>2</v>
      </c>
      <c r="D24" s="18">
        <v>5</v>
      </c>
      <c r="E24" s="18">
        <v>5</v>
      </c>
      <c r="F24" s="18">
        <f t="shared" si="0"/>
        <v>0</v>
      </c>
      <c r="G24" s="19">
        <f t="shared" si="1"/>
        <v>0</v>
      </c>
      <c r="H24" s="20" t="str">
        <f t="shared" si="2"/>
        <v>Indísponivel</v>
      </c>
    </row>
    <row r="25" spans="1:8" ht="15.75" thickBot="1" x14ac:dyDescent="0.3">
      <c r="A25" s="17">
        <v>22</v>
      </c>
      <c r="B25" s="18" t="s">
        <v>28</v>
      </c>
      <c r="C25" s="17" t="s">
        <v>2</v>
      </c>
      <c r="D25" s="18">
        <v>90</v>
      </c>
      <c r="E25" s="18">
        <v>89</v>
      </c>
      <c r="F25" s="18">
        <f t="shared" si="0"/>
        <v>1</v>
      </c>
      <c r="G25" s="19">
        <f t="shared" si="1"/>
        <v>1</v>
      </c>
      <c r="H25" s="20" t="str">
        <f t="shared" si="2"/>
        <v>Disponível</v>
      </c>
    </row>
    <row r="26" spans="1:8" ht="15.75" thickBot="1" x14ac:dyDescent="0.3">
      <c r="A26" s="17">
        <v>23</v>
      </c>
      <c r="B26" s="18" t="s">
        <v>29</v>
      </c>
      <c r="C26" s="17" t="s">
        <v>2</v>
      </c>
      <c r="D26" s="18">
        <v>12</v>
      </c>
      <c r="E26" s="18">
        <v>10</v>
      </c>
      <c r="F26" s="18">
        <f t="shared" si="0"/>
        <v>2</v>
      </c>
      <c r="G26" s="19">
        <f t="shared" si="1"/>
        <v>1</v>
      </c>
      <c r="H26" s="20" t="str">
        <f t="shared" si="2"/>
        <v>Disponível</v>
      </c>
    </row>
    <row r="27" spans="1:8" ht="15.75" thickBot="1" x14ac:dyDescent="0.3">
      <c r="A27" s="17">
        <v>24</v>
      </c>
      <c r="B27" s="18" t="s">
        <v>30</v>
      </c>
      <c r="C27" s="17" t="s">
        <v>2</v>
      </c>
      <c r="D27" s="18">
        <v>59</v>
      </c>
      <c r="E27" s="18">
        <v>45</v>
      </c>
      <c r="F27" s="18">
        <f t="shared" si="0"/>
        <v>14</v>
      </c>
      <c r="G27" s="19">
        <f t="shared" si="1"/>
        <v>1</v>
      </c>
      <c r="H27" s="20" t="str">
        <f t="shared" si="2"/>
        <v>Disponível</v>
      </c>
    </row>
    <row r="28" spans="1:8" ht="15.75" thickBot="1" x14ac:dyDescent="0.3">
      <c r="A28" s="17">
        <v>25</v>
      </c>
      <c r="B28" s="18" t="s">
        <v>31</v>
      </c>
      <c r="C28" s="17" t="s">
        <v>2</v>
      </c>
      <c r="D28" s="18">
        <v>68</v>
      </c>
      <c r="E28" s="18">
        <v>23</v>
      </c>
      <c r="F28" s="18">
        <f t="shared" si="0"/>
        <v>45</v>
      </c>
      <c r="G28" s="19">
        <f t="shared" si="1"/>
        <v>1</v>
      </c>
      <c r="H28" s="20" t="str">
        <f t="shared" si="2"/>
        <v>Disponível</v>
      </c>
    </row>
    <row r="29" spans="1:8" ht="15.75" thickBot="1" x14ac:dyDescent="0.3">
      <c r="A29" s="17">
        <v>26</v>
      </c>
      <c r="B29" s="18" t="s">
        <v>32</v>
      </c>
      <c r="C29" s="17" t="s">
        <v>2</v>
      </c>
      <c r="D29" s="18">
        <v>45</v>
      </c>
      <c r="E29" s="18">
        <v>45</v>
      </c>
      <c r="F29" s="18">
        <f t="shared" si="0"/>
        <v>0</v>
      </c>
      <c r="G29" s="19">
        <f t="shared" si="1"/>
        <v>0</v>
      </c>
      <c r="H29" s="20" t="str">
        <f t="shared" si="2"/>
        <v>Indísponivel</v>
      </c>
    </row>
    <row r="30" spans="1:8" ht="15.75" thickBot="1" x14ac:dyDescent="0.3">
      <c r="A30" s="17">
        <v>27</v>
      </c>
      <c r="B30" s="18" t="s">
        <v>33</v>
      </c>
      <c r="C30" s="17" t="s">
        <v>2</v>
      </c>
      <c r="D30" s="18">
        <v>69</v>
      </c>
      <c r="E30" s="18">
        <v>69</v>
      </c>
      <c r="F30" s="18">
        <f t="shared" si="0"/>
        <v>0</v>
      </c>
      <c r="G30" s="19">
        <f t="shared" si="1"/>
        <v>0</v>
      </c>
      <c r="H30" s="20" t="str">
        <f t="shared" si="2"/>
        <v>Indísponivel</v>
      </c>
    </row>
    <row r="31" spans="1:8" ht="15.75" thickBot="1" x14ac:dyDescent="0.3">
      <c r="A31" s="17">
        <v>28</v>
      </c>
      <c r="B31" s="18" t="s">
        <v>34</v>
      </c>
      <c r="C31" s="17" t="s">
        <v>2</v>
      </c>
      <c r="D31" s="18">
        <v>54</v>
      </c>
      <c r="E31" s="18">
        <v>32</v>
      </c>
      <c r="F31" s="18">
        <f t="shared" si="0"/>
        <v>22</v>
      </c>
      <c r="G31" s="19">
        <f t="shared" si="1"/>
        <v>1</v>
      </c>
      <c r="H31" s="20" t="str">
        <f t="shared" si="2"/>
        <v>Disponível</v>
      </c>
    </row>
    <row r="32" spans="1:8" ht="15.75" thickBot="1" x14ac:dyDescent="0.3">
      <c r="A32" s="11">
        <v>29</v>
      </c>
      <c r="B32" s="12" t="s">
        <v>35</v>
      </c>
      <c r="C32" s="11" t="s">
        <v>2</v>
      </c>
      <c r="D32" s="13">
        <v>32</v>
      </c>
      <c r="E32" s="13">
        <v>19</v>
      </c>
      <c r="F32" s="13">
        <f t="shared" si="0"/>
        <v>13</v>
      </c>
      <c r="G32" s="14">
        <f t="shared" si="1"/>
        <v>1</v>
      </c>
      <c r="H32" s="15" t="str">
        <f t="shared" si="2"/>
        <v>Disponível</v>
      </c>
    </row>
    <row r="33" spans="1:8" ht="15.75" thickBot="1" x14ac:dyDescent="0.3">
      <c r="A33" s="11">
        <v>30</v>
      </c>
      <c r="B33" s="12" t="s">
        <v>36</v>
      </c>
      <c r="C33" s="11" t="s">
        <v>2</v>
      </c>
      <c r="D33" s="13">
        <v>25</v>
      </c>
      <c r="E33" s="13">
        <v>18</v>
      </c>
      <c r="F33" s="13">
        <f t="shared" si="0"/>
        <v>7</v>
      </c>
      <c r="G33" s="14">
        <f t="shared" si="1"/>
        <v>1</v>
      </c>
      <c r="H33" s="16" t="str">
        <f t="shared" si="2"/>
        <v>Disponível</v>
      </c>
    </row>
  </sheetData>
  <mergeCells count="2">
    <mergeCell ref="G3:H3"/>
    <mergeCell ref="A1:H2"/>
  </mergeCells>
  <conditionalFormatting sqref="G4:G33">
    <cfRule type="iconSet" priority="3">
      <iconSet iconSet="3Symbols2" showValue="0">
        <cfvo type="percent" val="0"/>
        <cfvo type="percent" val="33"/>
        <cfvo type="percent" val="67"/>
      </iconSet>
    </cfRule>
  </conditionalFormatting>
  <conditionalFormatting sqref="H4:H33">
    <cfRule type="cellIs" dxfId="1" priority="2" operator="equal">
      <formula>"Indísponivel"</formula>
    </cfRule>
  </conditionalFormatting>
  <conditionalFormatting sqref="H6:H33">
    <cfRule type="cellIs" dxfId="0" priority="1" operator="equal">
      <formula>"Disponível"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Lipeeh Mendes</dc:creator>
  <cp:lastModifiedBy>Lipeeh Mendes</cp:lastModifiedBy>
  <dcterms:created xsi:type="dcterms:W3CDTF">2026-08-16T05:23:37Z</dcterms:created>
  <dcterms:modified xsi:type="dcterms:W3CDTF">2026-08-16T06:07:47Z</dcterms:modified>
</cp:coreProperties>
</file>